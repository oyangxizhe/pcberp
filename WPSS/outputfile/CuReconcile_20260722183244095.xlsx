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izhesoftware\euj_test\"/>
    </mc:Choice>
  </mc:AlternateContent>
  <xr:revisionPtr revIDLastSave="0" documentId="8_{CFD8A5B3-D924-485D-81C9-E05971445544}" xr6:coauthVersionLast="47" xr6:coauthVersionMax="47" xr10:uidLastSave="{00000000-0000-0000-0000-000000000000}"/>
  <bookViews>
    <workbookView xWindow="-120" yWindow="-120" windowWidth="29040" windowHeight="15720" xr2:uid="{E88E6835-143B-4ADD-B366-66AC9E3357F1}"/>
  </bookViews>
  <sheets>
    <sheet name="Sheet1" sheetId="1" r:id="rId1"/>
  </sheets>
  <definedNames>
    <definedName name="_xlnm._FilterDatabase" localSheetId="0" hidden="1">Sheet1!$A$10:$J$46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<sst xmlns="http://schemas.openxmlformats.org/spreadsheetml/2006/main" count="66" uniqueCount="66">
  <si>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CO18050002电子有限公司</t>
  </si>
  <si>
    <t>2026年06月对账单</t>
  </si>
  <si>
    <t>购货方</t>
  </si>
  <si>
    <t>供货方</t>
  </si>
  <si>
    <t>客户名称：</t>
  </si>
  <si>
    <t>卓CU00006</t>
  </si>
  <si>
    <t>供货方：</t>
  </si>
  <si>
    <t>联系人：</t>
  </si>
  <si>
    <t xml:space="preserve">M         </t>
  </si>
  <si>
    <t xml:space="preserve">A         </t>
  </si>
  <si>
    <t>电话：</t>
  </si>
  <si>
    <t>022</t>
  </si>
  <si>
    <t>051</t>
  </si>
  <si>
    <r>
      <t>E-MAIL：</t>
    </r>
  </si>
  <si>
    <t>MH@</t>
  </si>
  <si>
    <t>E-MAIL：</t>
  </si>
  <si>
    <t/>
  </si>
  <si>
    <t>以下是发货明细</t>
  </si>
  <si>
    <t>结算方式：月结60天</t>
  </si>
  <si>
    <t>序号</t>
  </si>
  <si>
    <t>送货日期</t>
  </si>
  <si>
    <t>送货单号</t>
  </si>
  <si>
    <t>产品型号</t>
  </si>
  <si>
    <t>物料编码</t>
  </si>
  <si>
    <t>合同编号</t>
  </si>
  <si>
    <t>数量（PCS)</t>
  </si>
  <si>
    <t xml:space="preserve">未税单价_x000D_
（元）</t>
  </si>
  <si>
    <t xml:space="preserve">未税 _x000D_
工程/模具费（元）</t>
  </si>
  <si>
    <t xml:space="preserve">未税金额_x000D_
（元）</t>
  </si>
  <si>
    <t>1</t>
  </si>
  <si>
    <t>2026/07/22</t>
  </si>
  <si>
    <t>SE18060025</t>
  </si>
  <si>
    <t>Condor 1S LED Driver</t>
  </si>
  <si>
    <t>5000.00</t>
  </si>
  <si>
    <t>1.9829</t>
  </si>
  <si>
    <t>0</t>
  </si>
  <si>
    <t>9914.50</t>
  </si>
  <si>
    <t>2</t>
  </si>
  <si>
    <t>condor 1s mb&amp;button</t>
  </si>
  <si>
    <t>9.7162</t>
  </si>
  <si>
    <t>48581.00</t>
  </si>
  <si>
    <t>3</t>
  </si>
  <si>
    <t>SE18060027</t>
  </si>
  <si>
    <t>Condor 1S LED</t>
  </si>
  <si>
    <t>4.7590</t>
  </si>
  <si>
    <t>23795.00</t>
  </si>
  <si>
    <t>4</t>
  </si>
  <si>
    <t>SE18060026</t>
  </si>
  <si>
    <t>8.00</t>
  </si>
  <si>
    <t>15.86</t>
  </si>
  <si>
    <t>5</t>
  </si>
  <si>
    <t>82306.36</t>
  </si>
  <si>
    <t>以下空白</t>
  </si>
  <si>
    <t xml:space="preserve">总        合       计  （未  税）</t>
  </si>
  <si>
    <r>
      <t>总        合       计  （含1</t>
    </r>
    <r>
      <rPr>
        <rFont val="宋体"/>
        <charset val="134"/>
        <sz val="12"/>
      </rPr>
      <t>3</t>
    </r>
    <r>
      <rPr>
        <rFont val="宋体"/>
        <charset val="134"/>
        <sz val="12"/>
      </rPr>
      <t>%税）</t>
    </r>
  </si>
  <si>
    <t>供货方确认</t>
  </si>
  <si>
    <t>本月双方发生交易货款共计含税人民币（大写）：</t>
  </si>
  <si>
    <t>请于5日内回传此对账单，否则视同默认以上金额，谢谢您的合作！</t>
  </si>
  <si>
    <t xml:space="preserve">  负责人盖章：              授权人签名：                审核：               制表：</t>
  </si>
  <si>
    <t xml:space="preserve">管理员    </t>
  </si>
  <si>
    <t>Angel</t>
  </si>
  <si>
    <t>购货方确认</t>
  </si>
  <si>
    <t>我方对供货方所提供的对账单内容已经核对，对上述本月所发生的交易货额及支付到期日确认无误。</t>
  </si>
  <si>
    <t xml:space="preserve">            购货方（印章）：   </t>
  </si>
  <si>
    <t xml:space="preserve"> 授权代表（签名）：</t>
  </si>
  <si>
    <t xml:space="preserve">     复核：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</si>
</sst>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1" formatCode="_-* #,##0_-;\-* #,##0_-;_-* &quot;-&quot;_-;_-@_-"/>
    <numFmt numFmtId="183" formatCode="_-* #,##0.00_-;\-* #,##0.00_-;_-* &quot;-&quot;??_-;_-@_-"/>
    <numFmt numFmtId="184" formatCode="#,##0.00_);[Red]\(#,##0.00\)"/>
    <numFmt numFmtId="186" formatCode="#,##0_ "/>
    <numFmt numFmtId="187" formatCode="_-* #,##0.0000_-;\-* #,##0.0000_-;_-* &quot;-&quot;_-;_-@_-"/>
    <numFmt numFmtId="188" formatCode="_-* #,##0.00_-;\-* #,##0.00_-;_-* &quot;-&quot;_-;_-@_-"/>
    <numFmt numFmtId="189" formatCode="_-* #,##0.0000_-;\-* #,##0.0000_-;_-* &quot;-&quot;??_-;_-@_-"/>
    <numFmt numFmtId="190" formatCode="m&quot;月&quot;d&quot;日&quot;;@"/>
    <numFmt numFmtId="191" formatCode="0.00_ "/>
  </numFmts>
  <fonts count="13">
    <font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18"/>
      <name val="宋体"/>
      <charset val="134"/>
    </font>
    <font>
      <b/>
      <sz val="10"/>
      <name val="MS Sans"/>
      <family val="2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applyNumberFormat="0" fontId="12" applyFont="1" fillId="0" applyFill="0" borderId="0" applyBorder="0" applyProtection="0" applyAlignment="0">
      <alignment vertical="top"/>
      <protection locked="0"/>
    </xf>
    <xf numFmtId="181" applyNumberFormat="1" fontId="1" applyFont="0" fillId="0" applyFill="0" borderId="0" applyBorder="0" applyProtection="0" applyAlignment="0">
      <alignment vertical="center"/>
    </xf>
    <xf numFmtId="181" applyNumberFormat="1" fontId="1" applyFont="0" fillId="0" applyFill="0" borderId="0" applyBorder="0" applyProtection="0" applyAlignment="0">
      <alignment vertical="center"/>
    </xf>
    <xf numFmtId="0" applyNumberFormat="0" fontId="10" applyFont="1" fillId="0" applyFill="0" borderId="0" applyBorder="0" applyProtection="0" applyAlignment="0"/>
  </cellStyleXfs>
  <cellXfs count="89">
    <xf numFmtId="0" fontId="0" fillId="0" borderId="0" xfId="0" applyAlignment="1">
      <alignment vertical="center"/>
    </xf>
    <xf numFmtId="0" fontId="4" applyFont="1" fillId="0" borderId="1" applyBorder="1" xfId="0" applyAlignment="1">
      <alignment horizontal="left" vertical="center"/>
    </xf>
    <xf numFmtId="0" fontId="4" applyFont="1" fillId="0" borderId="2" applyBorder="1" xfId="0" applyAlignment="1">
      <alignment horizontal="left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vertical="center"/>
    </xf>
    <xf numFmtId="0" fontId="0" fillId="0" borderId="0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12" applyFont="1" fillId="0" borderId="6" applyBorder="1" xfId="4" applyProtection="1" applyAlignment="1">
      <alignment vertical="center"/>
    </xf>
    <xf numFmtId="184" applyNumberFormat="1" fontId="5" applyFont="1" fillId="0" borderId="7" applyBorder="1" xfId="5" applyAlignment="1">
      <alignment horizontal="right"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9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9" applyBorder="1" xfId="0" applyAlignment="1">
      <alignment horizontal="center" vertical="center"/>
    </xf>
    <xf numFmtId="184" applyNumberFormat="1" fontId="5" applyFont="1" fillId="0" borderId="9" applyBorder="1" xfId="5" applyAlignment="1">
      <alignment horizontal="right" vertical="center"/>
    </xf>
    <xf numFmtId="0" fontId="5" applyFont="1" fillId="0" borderId="0" applyBorder="1" xfId="0" applyAlignment="1">
      <alignment horizontal="center" vertical="center"/>
    </xf>
    <xf numFmtId="0" fontId="5" applyFont="1" fillId="0" borderId="0" applyBorder="1" xfId="0" applyAlignment="1">
      <alignment horizontal="left" vertical="center"/>
    </xf>
    <xf numFmtId="184" applyNumberFormat="1" fontId="5" applyFont="1" fillId="0" borderId="0" applyBorder="1" xfId="5" applyAlignment="1">
      <alignment horizontal="right" vertical="center"/>
    </xf>
    <xf numFmtId="0" fontId="5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 wrapText="1"/>
    </xf>
    <xf numFmtId="14" applyNumberFormat="1" fontId="7" applyFont="1" fillId="0" applyFill="1" borderId="10" applyBorder="1" xfId="0" applyAlignment="1">
      <alignment horizontal="center" vertical="center"/>
    </xf>
    <xf numFmtId="186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quotePrefix="1" applyAlignment="1">
      <alignment horizontal="center" vertical="center"/>
    </xf>
    <xf numFmtId="0" applyNumberFormat="1" fontId="3" applyFont="1" fillId="0" applyFill="1" borderId="10" applyBorder="1" xfId="0" applyAlignment="1">
      <alignment horizontal="center" vertical="center"/>
    </xf>
    <xf numFmtId="187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borderId="10" applyBorder="1" xfId="5" applyAlignment="1">
      <alignment horizontal="right" vertical="center"/>
    </xf>
    <xf numFmtId="0" fontId="3" applyFont="1" fillId="0" borderId="0" xfId="0" applyAlignment="1">
      <alignment vertical="center"/>
    </xf>
    <xf numFmtId="183" applyNumberFormat="1" fontId="3" applyFont="1" fillId="0" borderId="0" xfId="0" applyAlignment="1">
      <alignment vertical="center"/>
    </xf>
    <xf numFmtId="189" applyNumberFormat="1" fontId="3" applyFont="1" fillId="0" borderId="10" applyBorder="1" xfId="0" applyAlignment="1">
      <alignment vertical="center"/>
    </xf>
    <xf numFmtId="189" applyNumberFormat="1" fontId="3" applyFont="1" fillId="0" borderId="10" applyBorder="1" xfId="0" applyAlignment="1">
      <alignment horizontal="center" vertical="center"/>
    </xf>
    <xf numFmtId="14" applyNumberFormat="1" fontId="7" applyFont="1" fillId="0" applyFill="1" borderId="10" applyBorder="1" xfId="0" quotePrefix="1" applyAlignment="1">
      <alignment horizontal="center" vertical="center"/>
    </xf>
    <xf numFmtId="188" applyNumberFormat="1" fontId="3" applyFont="1" fillId="0" borderId="0" xfId="0" applyAlignment="1">
      <alignment vertical="center"/>
    </xf>
    <xf numFmtId="186" applyNumberFormat="1" fontId="3" applyFont="1" fillId="0" applyFill="1" borderId="10" applyBorder="1" xfId="0" applyAlignment="1">
      <alignment horizontal="center" vertical="center"/>
    </xf>
    <xf numFmtId="188" applyNumberFormat="1" fontId="7" applyFont="1" fillId="0" applyFill="1" borderId="10" applyBorder="1" xfId="5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190" applyNumberFormat="1" fontId="5" applyFont="1" fillId="0" borderId="12" applyBorder="1" xfId="0" applyAlignment="1">
      <alignment horizontal="center" vertical="center"/>
    </xf>
    <xf numFmtId="0" applyNumberFormat="1" fontId="7" applyFont="1" fillId="0" applyFill="1" borderId="12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191" applyNumberFormat="1" fontId="5" applyFont="1" fillId="0" borderId="12" applyBorder="1" xfId="0" applyAlignment="1">
      <alignment horizontal="center" vertical="center"/>
    </xf>
    <xf numFmtId="184" applyNumberFormat="1" fontId="5" applyFont="1" fillId="0" borderId="10" applyBorder="1" xfId="5" applyAlignment="1">
      <alignment horizontal="right" vertical="center"/>
    </xf>
    <xf numFmtId="0" fontId="8" applyFont="1" fillId="0" borderId="1" applyBorder="1" xfId="0"/>
    <xf numFmtId="0" fontId="8" applyFont="1" fillId="0" borderId="2" applyBorder="1" xfId="0"/>
    <xf numFmtId="0" fontId="9" applyFont="1" fillId="0" borderId="2" applyBorder="1" xfId="0"/>
    <xf numFmtId="0" fontId="6" applyFont="1" fillId="0" borderId="3" applyBorder="1" xfId="0"/>
    <xf numFmtId="0" fontId="8" applyFont="1" fillId="0" borderId="4" applyBorder="1" xfId="0" applyAlignment="1">
      <alignment horizontal="left" vertical="center"/>
    </xf>
    <xf numFmtId="0" fontId="8" applyFont="1" fillId="0" borderId="0" applyBorder="1" xfId="0" applyAlignment="1">
      <alignment horizontal="center" vertical="center"/>
    </xf>
    <xf numFmtId="0" fontId="8" applyFont="1" fillId="0" borderId="5" applyBorder="1" xfId="0" applyAlignment="1">
      <alignment horizontal="center" vertical="center"/>
    </xf>
    <xf numFmtId="0" fontId="8" applyFont="1" fillId="0" borderId="4" applyBorder="1" xfId="0" applyAlignment="1">
      <alignment horizontal="center" vertical="center"/>
    </xf>
    <xf numFmtId="184" applyNumberFormat="1" fontId="6" applyFont="1" fillId="0" borderId="5" applyBorder="1" xfId="5" applyAlignment="1">
      <alignment horizontal="right" vertical="center"/>
    </xf>
    <xf numFmtId="0" fontId="8" applyFont="1" fillId="0" borderId="4" applyBorder="1" xfId="0" applyAlignment="1">
      <alignment vertical="center"/>
    </xf>
    <xf numFmtId="0" fontId="8" applyFont="1" fillId="0" borderId="0" applyBorder="1" xfId="0" applyAlignment="1">
      <alignment vertical="center"/>
    </xf>
    <xf numFmtId="184" applyNumberFormat="1" fontId="6" applyFont="1" fillId="0" borderId="5" applyBorder="1" xfId="5" applyAlignment="1">
      <alignment horizontal="left" vertical="center"/>
    </xf>
    <xf numFmtId="0" fontId="8" applyFont="1" fillId="0" borderId="8" applyBorder="1" xfId="0" applyAlignment="1">
      <alignment horizontal="center" vertical="center"/>
    </xf>
    <xf numFmtId="0" fontId="8" applyFont="1" fillId="0" borderId="6" applyBorder="1" xfId="0" applyAlignment="1">
      <alignment horizontal="center" vertical="center"/>
    </xf>
    <xf numFmtId="184" applyNumberFormat="1" fontId="6" applyFont="1" fillId="0" borderId="7" applyBorder="1" xfId="5" applyAlignment="1">
      <alignment horizontal="right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2" applyBorder="1" xfId="0" applyAlignment="1">
      <alignment horizontal="center" vertical="center" wrapText="1"/>
    </xf>
    <xf numFmtId="0" fontId="8" applyFont="1" fillId="0" borderId="3" applyBorder="1" xfId="0" applyAlignment="1">
      <alignment horizontal="center" vertical="center" wrapText="1"/>
    </xf>
    <xf numFmtId="0" fontId="8" applyFont="1" fillId="0" borderId="0" applyBorder="1" xfId="0" applyAlignment="1">
      <alignment vertical="center"/>
    </xf>
    <xf numFmtId="0" fontId="8" applyFont="1" fillId="0" borderId="6" applyBorder="1" xfId="0" applyAlignment="1">
      <alignment vertical="top"/>
    </xf>
    <xf numFmtId="0" fontId="1" applyFont="1" fillId="0" borderId="0" xfId="0" applyAlignment="1">
      <alignment vertical="center"/>
    </xf>
    <xf numFmtId="184" applyNumberFormat="1" fontId="5" applyFont="1" fillId="0" borderId="0" xfId="5" applyAlignment="1">
      <alignment horizontal="right" vertical="center"/>
    </xf>
    <xf numFmtId="0" fontId="8" applyFont="1" fillId="0" borderId="0" xfId="0" applyAlignment="1">
      <alignment vertical="center"/>
    </xf>
    <xf numFmtId="0" fontId="0" fillId="0" borderId="4" applyBorder="1" xfId="0" applyAlignment="1">
      <alignment vertical="center"/>
    </xf>
    <xf numFmtId="0" fontId="8" applyFont="1" fillId="0" borderId="13" applyBorder="1" xfId="0" applyAlignment="1">
      <alignment horizontal="center" vertical="center" wrapText="1"/>
    </xf>
    <xf numFmtId="0" fontId="8" applyFont="1" fillId="0" borderId="14" applyBorder="1" xfId="0" applyAlignment="1">
      <alignment horizontal="center" vertical="center" wrapText="1"/>
    </xf>
    <xf numFmtId="0" fontId="8" applyFont="1" fillId="0" borderId="15" applyBorder="1" xfId="0" applyAlignment="1">
      <alignment horizontal="center" vertical="center" wrapText="1"/>
    </xf>
    <xf numFmtId="0" fontId="6" applyFont="1" fillId="0" borderId="2" applyBorder="1" xfId="0" applyAlignment="1">
      <alignment horizontal="left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188" applyNumberFormat="1" fontId="1" applyFont="1" fillId="0" applyFill="1" borderId="12" applyBorder="1" xfId="5" applyAlignment="1">
      <alignment horizontal="center" vertical="center"/>
    </xf>
    <xf numFmtId="188" applyNumberFormat="1" fontId="1" applyFont="1" fillId="0" applyFill="1" borderId="9" applyBorder="1" xfId="5" applyAlignment="1">
      <alignment horizontal="center" vertical="center"/>
    </xf>
    <xf numFmtId="188" applyNumberFormat="1" fontId="1" applyFont="1" fillId="0" applyFill="1" borderId="16" applyBorder="1" xfId="5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2" applyFont="1" fillId="0" borderId="0" applyBorder="1" xfId="0" applyAlignment="1">
      <alignment horizontal="center" vertical="center"/>
    </xf>
    <xf numFmtId="0" fontId="4" applyFont="1" fillId="0" borderId="0" applyBorder="1" xfId="0" applyAlignment="1">
      <alignment horizontal="center" vertical="center"/>
    </xf>
    <xf numFmtId="0" fontId="0" fillId="0" borderId="0" applyBorder="1" xfId="0" applyAlignment="1">
      <alignment horizontal="left" vertical="center"/>
    </xf>
    <xf numFmtId="49" applyNumberFormat="1" fontId="0" fillId="0" borderId="0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1" applyFont="1" fillId="0" borderId="0" applyBorder="1" xfId="0" applyAlignment="1">
      <alignment horizontal="left" vertical="center"/>
    </xf>
    <xf numFmtId="0" fontId="1" applyFont="1" fillId="0" borderId="5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</cellXfs>
  <cellStyles count="8">
    <cellStyle name="常规" xfId="0" builtinId="0"/>
    <cellStyle name="常规 2" xfId="1" xr:uid="{52F5A067-C494-4795-8F76-0B774AB3D908}"/>
    <cellStyle name="常规 3" xfId="2" xr:uid="{09D368F1-365F-470E-8AF8-C35C16586043}"/>
    <cellStyle name="常规 4" xfId="3" xr:uid="{0BAE1ED5-5E41-4ED9-ABF0-B4A7B4B8B278}"/>
    <cellStyle name="超链接" xfId="4" builtinId="8"/>
    <cellStyle name="千位分隔[0]" xfId="5" builtinId="6"/>
    <cellStyle name="千位分隔[0] 2" xfId="6" xr:uid="{249723FC-369A-4D1D-9D19-B059417E692C}"/>
    <cellStyle name="样式 1" xfId="7" xr:uid="{D4CAC47F-6DF7-476A-ACA9-BCA14B713815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A1B6-3D91-4BF0-8809-BAF57A03E9BD}">
  <dimension ref="A1:M49"/>
  <sheetViews>
    <sheetView tabSelected="1" workbookViewId="0">
      <selection activeCell="D14" sqref="D14"/>
    </sheetView>
  </sheetViews>
  <sheetFormatPr defaultRowHeight="14.25"/>
  <cols>
    <col min="1" max="1" width="3.375" customWidth="1"/>
    <col min="2" max="2" width="11.375" customWidth="1"/>
    <col min="3" max="3" width="12" customWidth="1"/>
    <col min="4" max="4" width="26.125" customWidth="1"/>
    <col min="5" max="5" width="10.875" customWidth="1"/>
    <col min="6" max="6" width="14.75" customWidth="1"/>
    <col min="7" max="7" width="7.875" customWidth="1"/>
    <col min="8" max="8" bestFit="1" width="9.75" customWidth="1"/>
    <col min="9" max="9" width="11" customWidth="1"/>
    <col min="10" max="10" width="11.25" customWidth="1" style="67"/>
    <col min="13" max="13" bestFit="1" width="10.5" customWidth="1"/>
  </cols>
  <sheetData>
    <row r="1" ht="25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ht="2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</row>
    <row r="3" ht="20.25">
      <c r="A3" s="1" t="s">
        <v>2</v>
      </c>
      <c r="B3" s="2"/>
      <c r="C3" s="3"/>
      <c r="D3" s="3"/>
      <c r="E3" s="4"/>
      <c r="F3" s="1" t="s">
        <v>3</v>
      </c>
      <c r="G3" s="3"/>
      <c r="H3" s="3"/>
      <c r="I3" s="3"/>
      <c r="J3" s="4"/>
    </row>
    <row r="4" ht="15" customHeight="1">
      <c r="A4" s="69" t="s">
        <v>4</v>
      </c>
      <c r="B4" s="6"/>
      <c r="C4" s="83" t="s">
        <v>5</v>
      </c>
      <c r="D4" s="83"/>
      <c r="E4" s="7"/>
      <c r="F4" s="5" t="s">
        <v>6</v>
      </c>
      <c r="G4" s="83" t="s">
        <v>0</v>
      </c>
      <c r="H4" s="86"/>
      <c r="I4" s="86"/>
      <c r="J4" s="87"/>
    </row>
    <row r="5" ht="15" customHeight="1">
      <c r="A5" s="69" t="s">
        <v>7</v>
      </c>
      <c r="B5" s="6"/>
      <c r="C5" s="83" t="s">
        <v>8</v>
      </c>
      <c r="D5" s="83"/>
      <c r="E5" s="7"/>
      <c r="F5" s="5" t="s">
        <v>7</v>
      </c>
      <c r="G5" s="83" t="s">
        <v>9</v>
      </c>
      <c r="H5" s="83"/>
      <c r="I5" s="83"/>
      <c r="J5" s="88"/>
    </row>
    <row r="6" ht="15" customHeight="1">
      <c r="A6" s="69" t="s">
        <v>10</v>
      </c>
      <c r="B6" s="6"/>
      <c r="C6" s="84" t="s">
        <v>11</v>
      </c>
      <c r="D6" s="84"/>
      <c r="E6" s="7"/>
      <c r="F6" s="5" t="s">
        <v>10</v>
      </c>
      <c r="G6" s="86" t="s">
        <v>12</v>
      </c>
      <c r="H6" s="86"/>
      <c r="I6" s="86"/>
      <c r="J6" s="87"/>
    </row>
    <row r="7" ht="15" customHeight="1">
      <c r="A7" s="10" t="s">
        <v>13</v>
      </c>
      <c r="B7" s="8"/>
      <c r="C7" s="85" t="s">
        <v>14</v>
      </c>
      <c r="D7" s="85"/>
      <c r="E7" s="9"/>
      <c r="F7" s="10" t="s">
        <v>15</v>
      </c>
      <c r="G7" s="11" t="s">
        <v>16</v>
      </c>
      <c r="H7" s="8"/>
      <c r="I7" s="8"/>
      <c r="J7" s="12"/>
    </row>
    <row r="8" ht="7.5" customHeight="1">
      <c r="A8" s="13"/>
      <c r="B8" s="13"/>
      <c r="C8" s="14"/>
      <c r="D8" s="15"/>
      <c r="E8" s="16"/>
      <c r="F8" s="15"/>
      <c r="G8" s="15"/>
      <c r="H8" s="15"/>
      <c r="I8" s="15"/>
      <c r="J8" s="17"/>
    </row>
    <row r="9">
      <c r="A9" s="73" t="s">
        <v>17</v>
      </c>
      <c r="B9" s="73"/>
      <c r="C9" s="18"/>
      <c r="D9" s="19"/>
      <c r="E9" s="19"/>
      <c r="F9" s="19"/>
      <c r="G9" s="19"/>
      <c r="H9" s="19" t="s">
        <v>18</v>
      </c>
      <c r="I9" s="19"/>
      <c r="J9" s="20"/>
    </row>
    <row r="10" ht="33.75">
      <c r="A10" s="21" t="s">
        <v>19</v>
      </c>
      <c r="B10" s="21" t="s">
        <v>20</v>
      </c>
      <c r="C10" s="22" t="s">
        <v>21</v>
      </c>
      <c r="D10" s="22" t="s">
        <v>22</v>
      </c>
      <c r="E10" s="22" t="s">
        <v>23</v>
      </c>
      <c r="F10" s="22" t="s">
        <v>24</v>
      </c>
      <c r="G10" s="22" t="s">
        <v>25</v>
      </c>
      <c r="H10" s="23" t="s">
        <v>26</v>
      </c>
      <c r="I10" s="23" t="s">
        <v>27</v>
      </c>
      <c r="J10" s="23" t="s">
        <v>28</v>
      </c>
    </row>
    <row r="11" ht="19.5" customHeight="1" s="32" customFormat="1">
      <c r="A11" s="22" t="s">
        <v>29</v>
      </c>
      <c r="B11" s="24" t="s">
        <v>30</v>
      </c>
      <c r="C11" s="25" t="s">
        <v>31</v>
      </c>
      <c r="D11" s="26" t="s">
        <v>32</v>
      </c>
      <c r="E11" s="27" t="s">
        <v>16</v>
      </c>
      <c r="F11" s="24" t="s">
        <v>16</v>
      </c>
      <c r="G11" s="28" t="s">
        <v>33</v>
      </c>
      <c r="H11" s="29" t="s">
        <v>34</v>
      </c>
      <c r="I11" s="30" t="s">
        <v>35</v>
      </c>
      <c r="J11" s="31" t="s">
        <v>36</v>
      </c>
      <c r="M11" s="33"/>
    </row>
    <row r="12" ht="19.5" customHeight="1" s="32" customFormat="1">
      <c r="A12" s="22" t="s">
        <v>37</v>
      </c>
      <c r="B12" s="24" t="s">
        <v>30</v>
      </c>
      <c r="C12" s="25" t="s">
        <v>31</v>
      </c>
      <c r="D12" s="26" t="s">
        <v>38</v>
      </c>
      <c r="E12" s="27" t="s">
        <v>16</v>
      </c>
      <c r="F12" s="24" t="s">
        <v>16</v>
      </c>
      <c r="G12" s="28" t="s">
        <v>33</v>
      </c>
      <c r="H12" s="29" t="s">
        <v>39</v>
      </c>
      <c r="I12" s="30" t="s">
        <v>35</v>
      </c>
      <c r="J12" s="31" t="s">
        <v>40</v>
      </c>
      <c r="M12" s="33"/>
    </row>
    <row r="13" ht="19.5" customHeight="1" s="32" customFormat="1">
      <c r="A13" s="22" t="s">
        <v>41</v>
      </c>
      <c r="B13" s="24" t="s">
        <v>30</v>
      </c>
      <c r="C13" s="25" t="s">
        <v>42</v>
      </c>
      <c r="D13" s="26" t="s">
        <v>43</v>
      </c>
      <c r="E13" s="27" t="s">
        <v>16</v>
      </c>
      <c r="F13" s="24" t="s">
        <v>16</v>
      </c>
      <c r="G13" s="28" t="s">
        <v>33</v>
      </c>
      <c r="H13" s="29" t="s">
        <v>44</v>
      </c>
      <c r="I13" s="30" t="s">
        <v>35</v>
      </c>
      <c r="J13" s="31" t="s">
        <v>45</v>
      </c>
      <c r="M13" s="33"/>
    </row>
    <row r="14" ht="19.5" customHeight="1" s="32" customFormat="1">
      <c r="A14" s="22" t="s">
        <v>46</v>
      </c>
      <c r="B14" s="24" t="s">
        <v>30</v>
      </c>
      <c r="C14" s="25" t="s">
        <v>47</v>
      </c>
      <c r="D14" s="26" t="s">
        <v>32</v>
      </c>
      <c r="E14" s="27" t="s">
        <v>16</v>
      </c>
      <c r="F14" s="24" t="s">
        <v>16</v>
      </c>
      <c r="G14" s="28" t="s">
        <v>48</v>
      </c>
      <c r="H14" s="29" t="s">
        <v>34</v>
      </c>
      <c r="I14" s="30" t="s">
        <v>35</v>
      </c>
      <c r="J14" s="31" t="s">
        <v>49</v>
      </c>
      <c r="M14" s="33"/>
    </row>
    <row r="15" ht="19.5" customHeight="1">
      <c r="A15" s="22" t="s">
        <v>50</v>
      </c>
      <c r="B15" s="24" t="s">
        <v>30</v>
      </c>
      <c r="C15" s="25" t="s">
        <v>16</v>
      </c>
      <c r="D15" s="26" t="s">
        <v>16</v>
      </c>
      <c r="E15" s="27" t="s">
        <v>16</v>
      </c>
      <c r="F15" s="24" t="s">
        <v>16</v>
      </c>
      <c r="G15" s="28" t="s">
        <v>16</v>
      </c>
      <c r="H15" s="34" t="s">
        <v>16</v>
      </c>
      <c r="I15" s="30" t="s">
        <v>16</v>
      </c>
      <c r="J15" s="31" t="s">
        <v>51</v>
      </c>
      <c r="M15" s="33"/>
    </row>
    <row r="16" ht="19.5" customHeight="1">
      <c r="A16" s="22"/>
      <c r="B16" s="24"/>
      <c r="C16" s="25"/>
      <c r="D16" s="26"/>
      <c r="E16" s="27"/>
      <c r="F16" s="24"/>
      <c r="G16" s="28"/>
      <c r="H16" s="35"/>
      <c r="I16" s="30"/>
      <c r="J16" s="31">
        <v>0</v>
      </c>
      <c r="M16" s="33"/>
    </row>
    <row r="17" ht="19.5" customHeight="1">
      <c r="A17" s="22"/>
      <c r="B17" s="24"/>
      <c r="C17" s="25"/>
      <c r="D17" s="26"/>
      <c r="E17" s="27"/>
      <c r="F17" s="24"/>
      <c r="G17" s="28"/>
      <c r="H17" s="35"/>
      <c r="I17" s="30"/>
      <c r="J17" s="31">
        <f>G17*H17+I17</f>
        <v>0</v>
      </c>
      <c r="M17" s="33"/>
    </row>
    <row r="18" ht="19.5" customHeight="1">
      <c r="A18" s="22"/>
      <c r="B18" s="24"/>
      <c r="C18" s="25"/>
      <c r="D18" s="26"/>
      <c r="E18" s="27"/>
      <c r="F18" s="24"/>
      <c r="G18" s="28"/>
      <c r="H18" s="35"/>
      <c r="I18" s="30"/>
      <c r="J18" s="31">
        <f>G18*H18+I18</f>
        <v>0</v>
      </c>
      <c r="M18" s="33"/>
    </row>
    <row r="19" ht="19.5" customHeight="1">
      <c r="A19" s="22"/>
      <c r="B19" s="24"/>
      <c r="C19" s="25"/>
      <c r="D19" s="26"/>
      <c r="E19" s="27"/>
      <c r="F19" s="24"/>
      <c r="G19" s="28"/>
      <c r="H19" s="35"/>
      <c r="I19" s="30"/>
      <c r="J19" s="31">
        <f>G19*H19+I19</f>
        <v>0</v>
      </c>
      <c r="M19" s="33"/>
    </row>
    <row r="20" ht="19.5" customHeight="1">
      <c r="A20" s="22"/>
      <c r="B20" s="24"/>
      <c r="C20" s="25"/>
      <c r="D20" s="26"/>
      <c r="E20" s="27"/>
      <c r="F20" s="24"/>
      <c r="G20" s="28"/>
      <c r="H20" s="35"/>
      <c r="I20" s="30"/>
      <c r="J20" s="31">
        <f>G20*H20+I20</f>
        <v>0</v>
      </c>
      <c r="M20" s="33"/>
    </row>
    <row r="21" ht="19.5" customHeight="1">
      <c r="A21" s="22"/>
      <c r="B21" s="24"/>
      <c r="C21" s="25"/>
      <c r="D21" s="26"/>
      <c r="E21" s="27"/>
      <c r="F21" s="24"/>
      <c r="G21" s="28"/>
      <c r="H21" s="29"/>
      <c r="I21" s="30"/>
      <c r="J21" s="31">
        <f>G21*H21+I21</f>
        <v>0</v>
      </c>
      <c r="M21" s="33"/>
    </row>
    <row r="22" ht="19.5" customHeight="1">
      <c r="A22" s="22"/>
      <c r="B22" s="24"/>
      <c r="C22" s="25"/>
      <c r="D22" s="26"/>
      <c r="E22" s="27"/>
      <c r="F22" s="24"/>
      <c r="G22" s="28"/>
      <c r="H22" s="29"/>
      <c r="I22" s="30"/>
      <c r="J22" s="31">
        <f>G22*H22+I22</f>
        <v>0</v>
      </c>
      <c r="M22" s="33"/>
    </row>
    <row r="23" ht="19.5" customHeight="1">
      <c r="A23" s="22"/>
      <c r="B23" s="24"/>
      <c r="C23" s="25"/>
      <c r="D23" s="26"/>
      <c r="E23" s="27"/>
      <c r="F23" s="24"/>
      <c r="G23" s="28"/>
      <c r="H23" s="35"/>
      <c r="I23" s="30"/>
      <c r="J23" s="31">
        <f>G23*H23+I23</f>
        <v>0</v>
      </c>
      <c r="M23" s="33"/>
    </row>
    <row r="24" ht="19.5" customHeight="1">
      <c r="A24" s="22"/>
      <c r="B24" s="24"/>
      <c r="C24" s="25"/>
      <c r="D24" s="26"/>
      <c r="E24" s="27"/>
      <c r="F24" s="24"/>
      <c r="G24" s="28"/>
      <c r="H24" s="35"/>
      <c r="I24" s="30"/>
      <c r="J24" s="31">
        <f>G24*H24+I24</f>
        <v>0</v>
      </c>
      <c r="M24" s="33"/>
    </row>
    <row r="25" ht="19.5" customHeight="1">
      <c r="A25" s="22"/>
      <c r="B25" s="24"/>
      <c r="C25" s="25"/>
      <c r="D25" s="26"/>
      <c r="E25" s="27"/>
      <c r="F25" s="24"/>
      <c r="G25" s="28"/>
      <c r="H25" s="35"/>
      <c r="I25" s="30"/>
      <c r="J25" s="31">
        <v>0</v>
      </c>
      <c r="M25" s="33"/>
    </row>
    <row r="26" ht="19.5" customHeight="1">
      <c r="A26" s="22"/>
      <c r="B26" s="24"/>
      <c r="C26" s="25"/>
      <c r="D26" s="26"/>
      <c r="E26" s="27"/>
      <c r="F26" s="24"/>
      <c r="G26" s="28"/>
      <c r="H26" s="35"/>
      <c r="I26" s="30"/>
      <c r="J26" s="31">
        <f>G26*H26+I26</f>
        <v>0</v>
      </c>
      <c r="M26" s="33"/>
    </row>
    <row r="27" ht="19.5" customHeight="1">
      <c r="A27" s="22"/>
      <c r="B27" s="24"/>
      <c r="C27" s="25"/>
      <c r="D27" s="26"/>
      <c r="E27" s="27"/>
      <c r="F27" s="24"/>
      <c r="G27" s="28"/>
      <c r="H27" s="35"/>
      <c r="I27" s="30"/>
      <c r="J27" s="31">
        <f>G27*H27+I27</f>
        <v>0</v>
      </c>
      <c r="M27" s="33"/>
    </row>
    <row r="28" ht="19.5" customHeight="1" s="32" customFormat="1">
      <c r="A28" s="22"/>
      <c r="B28" s="24"/>
      <c r="C28" s="25"/>
      <c r="D28" s="26"/>
      <c r="E28" s="26"/>
      <c r="F28" s="36"/>
      <c r="G28" s="28"/>
      <c r="H28" s="30"/>
      <c r="I28" s="30"/>
      <c r="J28" s="31">
        <f>G28*H28+I28</f>
        <v>0</v>
      </c>
      <c r="L28" s="33"/>
      <c r="M28" s="37"/>
    </row>
    <row r="29" ht="19.5" customHeight="1" s="32" customFormat="1">
      <c r="A29" s="22"/>
      <c r="B29" s="24"/>
      <c r="C29" s="38"/>
      <c r="D29" s="26"/>
      <c r="E29" s="26"/>
      <c r="F29" s="36"/>
      <c r="G29" s="28"/>
      <c r="H29" s="35"/>
      <c r="I29" s="30"/>
      <c r="J29" s="31">
        <v>0</v>
      </c>
      <c r="L29" s="33"/>
    </row>
    <row r="30" ht="19.5" customHeight="1" s="32" customFormat="1">
      <c r="A30" s="22"/>
      <c r="B30" s="24"/>
      <c r="C30" s="38"/>
      <c r="D30" s="26"/>
      <c r="E30" s="26"/>
      <c r="F30" s="36"/>
      <c r="G30" s="28"/>
      <c r="H30" s="30"/>
      <c r="I30" s="30"/>
      <c r="J30" s="31">
        <f>G30*H30+I30</f>
        <v>0</v>
      </c>
      <c r="L30" s="33"/>
      <c r="M30" s="37"/>
    </row>
    <row r="31" ht="19.5" customHeight="1" s="32" customFormat="1">
      <c r="A31" s="22"/>
      <c r="B31" s="24"/>
      <c r="C31" s="38"/>
      <c r="D31" s="26"/>
      <c r="E31" s="26"/>
      <c r="F31" s="36"/>
      <c r="G31" s="28"/>
      <c r="H31" s="30"/>
      <c r="I31" s="30"/>
      <c r="J31" s="31">
        <f>G31*H31+I31</f>
        <v>0</v>
      </c>
      <c r="L31" s="33"/>
      <c r="M31" s="37"/>
    </row>
    <row r="32" ht="19.5" customHeight="1" s="32" customFormat="1">
      <c r="A32" s="22"/>
      <c r="B32" s="24"/>
      <c r="C32" s="38"/>
      <c r="D32" s="26"/>
      <c r="E32" s="26"/>
      <c r="F32" s="36"/>
      <c r="G32" s="26"/>
      <c r="H32" s="39"/>
      <c r="I32" s="39"/>
      <c r="J32" s="31">
        <f>G32*H32+I32</f>
        <v>0</v>
      </c>
      <c r="L32" s="33"/>
    </row>
    <row r="33" ht="19.5" customHeight="1" s="32" customFormat="1">
      <c r="A33" s="22"/>
      <c r="B33" s="24"/>
      <c r="C33" s="38"/>
      <c r="D33" s="26"/>
      <c r="E33" s="26"/>
      <c r="F33" s="36"/>
      <c r="G33" s="26"/>
      <c r="H33" s="39"/>
      <c r="I33" s="39"/>
      <c r="J33" s="31">
        <f>G33*H33+I33</f>
        <v>0</v>
      </c>
      <c r="L33" s="33"/>
    </row>
    <row r="34" ht="19.5" customHeight="1" s="32" customFormat="1">
      <c r="A34" s="22"/>
      <c r="B34" s="24"/>
      <c r="C34" s="38"/>
      <c r="D34" s="26"/>
      <c r="E34" s="26"/>
      <c r="F34" s="36"/>
      <c r="G34" s="26"/>
      <c r="H34" s="35"/>
      <c r="I34" s="39"/>
      <c r="J34" s="31">
        <v>0</v>
      </c>
      <c r="L34" s="33"/>
    </row>
    <row r="35" ht="21" customHeight="1">
      <c r="A35" s="40"/>
      <c r="B35" s="41"/>
      <c r="C35" s="41"/>
      <c r="D35" s="42" t="s">
        <v>52</v>
      </c>
      <c r="E35" s="43"/>
      <c r="F35" s="43"/>
      <c r="G35" s="43"/>
      <c r="H35" s="44"/>
      <c r="I35" s="44"/>
      <c r="J35" s="45"/>
    </row>
    <row r="36" ht="18" customHeight="1">
      <c r="A36" s="74" t="s">
        <v>53</v>
      </c>
      <c r="B36" s="75"/>
      <c r="C36" s="75"/>
      <c r="D36" s="75"/>
      <c r="E36" s="76"/>
      <c r="F36" s="77">
        <f>SUBTOTAL(9,J10:J35)</f>
        <v>0</v>
      </c>
      <c r="G36" s="78"/>
      <c r="H36" s="78"/>
      <c r="I36" s="78"/>
      <c r="J36" s="79"/>
    </row>
    <row r="37" ht="18" customHeight="1">
      <c r="A37" s="80" t="s">
        <v>54</v>
      </c>
      <c r="B37" s="75"/>
      <c r="C37" s="75"/>
      <c r="D37" s="75"/>
      <c r="E37" s="76"/>
      <c r="F37" s="77">
        <f>SUBTOTAL(9,J10:J35)*1.16</f>
        <v>0</v>
      </c>
      <c r="G37" s="78"/>
      <c r="H37" s="78"/>
      <c r="I37" s="78"/>
      <c r="J37" s="79"/>
    </row>
    <row r="38" ht="25.5" customHeight="1">
      <c r="A38" s="70" t="s">
        <v>55</v>
      </c>
      <c r="B38" s="46" t="s">
        <v>56</v>
      </c>
      <c r="C38" s="47"/>
      <c r="D38" s="47"/>
      <c r="E38" s="48" t="str">
        <f>SUBSTITUTE(SUBSTITUTE(IF(F37&gt;-0.5%,,"负")&amp;TEXT(INT(FIXED(ABS(F37))),"[dbnum2]G/通用格式元;;")&amp;TEXT(RIGHT(FIXED(F37),2),"[dbnum2]0角0分;;"&amp;IF(ABS(F37)&gt;1%,"整",)),"零角",IF(ABS(F37)&lt;1,,"零")),"零分","整")</f>
      </c>
      <c r="F38" s="47"/>
      <c r="G38" s="47"/>
      <c r="H38" s="47"/>
      <c r="I38" s="47"/>
      <c r="J38" s="49"/>
    </row>
    <row r="39" ht="25.5" customHeight="1">
      <c r="A39" s="71"/>
      <c r="B39" s="50" t="s">
        <v>57</v>
      </c>
      <c r="E39" s="51"/>
      <c r="F39" s="51"/>
      <c r="G39" s="51"/>
      <c r="H39" s="51"/>
      <c r="I39" s="51"/>
      <c r="J39" s="52"/>
    </row>
    <row r="40" ht="25.5" customHeight="1">
      <c r="A40" s="71"/>
      <c r="B40" s="53"/>
      <c r="C40" s="51"/>
      <c r="D40" s="51"/>
      <c r="E40" s="51"/>
      <c r="F40" s="51"/>
      <c r="G40" s="51"/>
      <c r="H40" s="51"/>
      <c r="I40" s="51"/>
      <c r="J40" s="54"/>
    </row>
    <row r="41" ht="25.5" customHeight="1">
      <c r="A41" s="71"/>
      <c r="B41" s="55" t="s">
        <v>58</v>
      </c>
      <c r="C41" s="56"/>
      <c r="D41" s="56"/>
      <c r="E41" s="56"/>
      <c r="F41" s="56"/>
      <c r="G41" s="56"/>
      <c r="H41" s="56"/>
      <c r="I41" s="56" t="s">
        <v>59</v>
      </c>
      <c r="J41" s="57" t="s">
        <v>60</v>
      </c>
    </row>
    <row r="42" ht="7.5" customHeight="1">
      <c r="A42" s="72"/>
      <c r="B42" s="58"/>
      <c r="C42" s="59"/>
      <c r="D42" s="59"/>
      <c r="E42" s="59"/>
      <c r="F42" s="59"/>
      <c r="G42" s="59"/>
      <c r="H42" s="59"/>
      <c r="I42" s="59"/>
      <c r="J42" s="60"/>
    </row>
    <row r="43" ht="30.75" customHeight="1">
      <c r="A43" s="70" t="s">
        <v>61</v>
      </c>
      <c r="B43" s="61" t="s">
        <v>62</v>
      </c>
      <c r="C43" s="62"/>
      <c r="D43" s="62"/>
      <c r="E43" s="62"/>
      <c r="F43" s="62"/>
      <c r="G43" s="62"/>
      <c r="H43" s="62"/>
      <c r="I43" s="62"/>
      <c r="J43" s="63"/>
    </row>
    <row r="44">
      <c r="A44" s="71"/>
      <c r="B44" s="64"/>
      <c r="C44" s="64"/>
      <c r="D44" s="64"/>
      <c r="E44" s="64"/>
      <c r="F44" s="64"/>
      <c r="G44" s="64"/>
      <c r="H44" s="64"/>
      <c r="I44" s="64"/>
      <c r="J44" s="54"/>
    </row>
    <row r="45">
      <c r="A45" s="71"/>
      <c r="B45" s="64"/>
      <c r="C45" s="64"/>
      <c r="D45" s="64"/>
      <c r="E45" s="64"/>
      <c r="F45" s="64"/>
      <c r="G45" s="64"/>
      <c r="H45" s="64"/>
      <c r="I45" s="64"/>
      <c r="J45" s="54"/>
    </row>
    <row r="46" ht="33" customHeight="1">
      <c r="A46" s="72"/>
      <c r="B46" s="59" t="s">
        <v>63</v>
      </c>
      <c r="C46" s="59"/>
      <c r="D46" s="59"/>
      <c r="E46" s="59" t="s">
        <v>64</v>
      </c>
      <c r="F46" s="59"/>
      <c r="G46" s="59" t="s">
        <v>65</v>
      </c>
      <c r="H46" s="65"/>
      <c r="I46" s="65"/>
      <c r="J46" s="60"/>
    </row>
    <row r="47">
      <c r="A47" s="66"/>
    </row>
    <row r="48">
      <c r="A48" s="66"/>
    </row>
    <row r="49">
      <c r="A49" s="68"/>
    </row>
  </sheetData>
  <autoFilter ref="A10:J46" xr:uid="{EAB9E2E1-5797-4B2A-93D8-A55BAFE45376}"/>
  <mergeCells>
    <mergeCell ref="A1:J1"/>
    <mergeCell ref="A2:J2"/>
    <mergeCell ref="C4:D4"/>
    <mergeCell ref="C5:D5"/>
    <mergeCell ref="C6:D6"/>
    <mergeCell ref="C7:D7"/>
    <mergeCell ref="G4:J4"/>
    <mergeCell ref="G5:J5"/>
    <mergeCell ref="G6:J6"/>
    <mergeCell ref="A43:A46"/>
    <mergeCell ref="A9:B9"/>
    <mergeCell ref="A36:E36"/>
    <mergeCell ref="F36:J36"/>
    <mergeCell ref="A37:E37"/>
    <mergeCell ref="F37:J37"/>
    <mergeCell ref="A38:A42"/>
  </mergeCells>
  <phoneticPr fontId="3" type="noConversion"/>
  <conditionalFormatting sqref="H28:H34 H21:H22 H11:H14 C11:C34 I11:I34">
    <cfRule type="cellIs" dxfId="0" priority="1" stopIfTrue="1" operator="equal">
      <formula>0</formula>
    </cfRule>
  </conditionalFormatting>
  <printOptions horizontalCentered="1"/>
  <pageMargins left="0.15748031496062992" right="0.15748031496062992" top="0.47244094488188981" bottom="0.23622047244094491" header="0.47244094488188981" footer="0.31496062992125984"/>
  <pageSetup paperSize="9" scale="78" orientation="portrait" horizontalDpi="20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e3300</cp:lastModifiedBy>
  <dcterms:created xsi:type="dcterms:W3CDTF">2018-05-23T08:33:29Z</dcterms:created>
  <dcterms:modified xsi:type="dcterms:W3CDTF">2026-07-22T09:49:56Z</dcterms:modified>
</cp:coreProperties>
</file>